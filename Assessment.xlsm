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P.000\Downloads\"/>
    </mc:Choice>
  </mc:AlternateContent>
  <xr:revisionPtr revIDLastSave="0" documentId="13_ncr:1_{D5EDA180-07CC-4ED6-A20C-E3BF3788BBA2}" xr6:coauthVersionLast="47" xr6:coauthVersionMax="47" xr10:uidLastSave="{00000000-0000-0000-0000-000000000000}"/>
  <bookViews>
    <workbookView xWindow="-120" yWindow="-120" windowWidth="20730" windowHeight="11160" tabRatio="849" xr2:uid="{00000000-000D-0000-FFFF-FFFF00000000}"/>
  </bookViews>
  <sheets>
    <sheet name="Dataset" sheetId="1" r:id="rId1"/>
    <sheet name="Task_1" sheetId="15" r:id="rId2"/>
    <sheet name="Task_2" sheetId="18" r:id="rId3"/>
    <sheet name="Task_3" sheetId="16" r:id="rId4"/>
    <sheet name="Task_4" sheetId="19" r:id="rId5"/>
    <sheet name="Task_5" sheetId="20" r:id="rId6"/>
  </sheets>
  <functionGroups builtInGroupCount="19"/>
  <definedNames>
    <definedName name="_xlnm._FilterDatabase" localSheetId="0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B54" i="16" l="1"/>
  <c r="C54" i="16"/>
  <c r="D54" i="16"/>
  <c r="E54" i="16"/>
  <c r="F54" i="16"/>
  <c r="C22" i="19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B17" i="16"/>
  <c r="C17" i="16"/>
  <c r="D17" i="16"/>
  <c r="E17" i="16"/>
  <c r="F17" i="16"/>
  <c r="B18" i="16"/>
  <c r="C18" i="16"/>
  <c r="D18" i="16"/>
  <c r="E18" i="16"/>
  <c r="F18" i="16"/>
  <c r="B19" i="16"/>
  <c r="C19" i="16"/>
  <c r="D19" i="16"/>
  <c r="E19" i="16"/>
  <c r="F19" i="16"/>
  <c r="B20" i="16"/>
  <c r="C20" i="16"/>
  <c r="D20" i="16"/>
  <c r="E20" i="16"/>
  <c r="F20" i="16"/>
  <c r="B21" i="16"/>
  <c r="C21" i="16"/>
  <c r="D21" i="16"/>
  <c r="E21" i="16"/>
  <c r="F21" i="16"/>
  <c r="B22" i="16"/>
  <c r="C22" i="16"/>
  <c r="D22" i="16"/>
  <c r="E22" i="16"/>
  <c r="F22" i="16"/>
  <c r="B23" i="16"/>
  <c r="C23" i="16"/>
  <c r="D23" i="16"/>
  <c r="E23" i="16"/>
  <c r="F23" i="16"/>
  <c r="B24" i="16"/>
  <c r="C24" i="16"/>
  <c r="D24" i="16"/>
  <c r="E24" i="16"/>
  <c r="F24" i="16"/>
  <c r="B25" i="16"/>
  <c r="C25" i="16"/>
  <c r="D25" i="16"/>
  <c r="E25" i="16"/>
  <c r="F25" i="16"/>
  <c r="B26" i="16"/>
  <c r="C26" i="16"/>
  <c r="D26" i="16"/>
  <c r="E26" i="16"/>
  <c r="F26" i="16"/>
  <c r="B27" i="16"/>
  <c r="C27" i="16"/>
  <c r="D27" i="16"/>
  <c r="E27" i="16"/>
  <c r="F27" i="16"/>
  <c r="B28" i="16"/>
  <c r="C28" i="16"/>
  <c r="D28" i="16"/>
  <c r="E28" i="16"/>
  <c r="F28" i="16"/>
  <c r="B29" i="16"/>
  <c r="C29" i="16"/>
  <c r="D29" i="16"/>
  <c r="E29" i="16"/>
  <c r="F29" i="16"/>
  <c r="B30" i="16"/>
  <c r="C30" i="16"/>
  <c r="D30" i="16"/>
  <c r="E30" i="16"/>
  <c r="F30" i="16"/>
  <c r="B31" i="16"/>
  <c r="C31" i="16"/>
  <c r="D31" i="16"/>
  <c r="E31" i="16"/>
  <c r="F31" i="16"/>
  <c r="B32" i="16"/>
  <c r="C32" i="16"/>
  <c r="D32" i="16"/>
  <c r="E32" i="16"/>
  <c r="F32" i="16"/>
  <c r="B33" i="16"/>
  <c r="C33" i="16"/>
  <c r="D33" i="16"/>
  <c r="E33" i="16"/>
  <c r="F33" i="16"/>
  <c r="B34" i="16"/>
  <c r="C34" i="16"/>
  <c r="D34" i="16"/>
  <c r="E34" i="16"/>
  <c r="F34" i="16"/>
  <c r="B35" i="16"/>
  <c r="C35" i="16"/>
  <c r="D35" i="16"/>
  <c r="E35" i="16"/>
  <c r="F35" i="16"/>
  <c r="B36" i="16"/>
  <c r="C36" i="16"/>
  <c r="D36" i="16"/>
  <c r="E36" i="16"/>
  <c r="F36" i="16"/>
  <c r="B37" i="16"/>
  <c r="C37" i="16"/>
  <c r="D37" i="16"/>
  <c r="E37" i="16"/>
  <c r="F37" i="16"/>
  <c r="B38" i="16"/>
  <c r="C38" i="16"/>
  <c r="D38" i="16"/>
  <c r="E38" i="16"/>
  <c r="F38" i="16"/>
  <c r="B39" i="16"/>
  <c r="C39" i="16"/>
  <c r="D39" i="16"/>
  <c r="E39" i="16"/>
  <c r="F39" i="16"/>
  <c r="B40" i="16"/>
  <c r="C40" i="16"/>
  <c r="D40" i="16"/>
  <c r="E40" i="16"/>
  <c r="F40" i="16"/>
  <c r="B41" i="16"/>
  <c r="C41" i="16"/>
  <c r="D41" i="16"/>
  <c r="E41" i="16"/>
  <c r="F41" i="16"/>
  <c r="B42" i="16"/>
  <c r="C42" i="16"/>
  <c r="D42" i="16"/>
  <c r="E42" i="16"/>
  <c r="F42" i="16"/>
  <c r="B43" i="16"/>
  <c r="C43" i="16"/>
  <c r="D43" i="16"/>
  <c r="E43" i="16"/>
  <c r="F43" i="16"/>
  <c r="B44" i="16"/>
  <c r="C44" i="16"/>
  <c r="D44" i="16"/>
  <c r="E44" i="16"/>
  <c r="F44" i="16"/>
  <c r="B45" i="16"/>
  <c r="C45" i="16"/>
  <c r="D45" i="16"/>
  <c r="E45" i="16"/>
  <c r="F45" i="16"/>
  <c r="B46" i="16"/>
  <c r="C46" i="16"/>
  <c r="D46" i="16"/>
  <c r="E46" i="16"/>
  <c r="F46" i="16"/>
  <c r="B47" i="16"/>
  <c r="C47" i="16"/>
  <c r="D47" i="16"/>
  <c r="E47" i="16"/>
  <c r="F47" i="16"/>
  <c r="B48" i="16"/>
  <c r="C48" i="16"/>
  <c r="D48" i="16"/>
  <c r="E48" i="16"/>
  <c r="F48" i="16"/>
  <c r="B49" i="16"/>
  <c r="C49" i="16"/>
  <c r="D49" i="16"/>
  <c r="E49" i="16"/>
  <c r="F49" i="16"/>
  <c r="B50" i="16"/>
  <c r="C50" i="16"/>
  <c r="D50" i="16"/>
  <c r="E50" i="16"/>
  <c r="F50" i="16"/>
  <c r="B51" i="16"/>
  <c r="C51" i="16"/>
  <c r="D51" i="16"/>
  <c r="E51" i="16"/>
  <c r="F51" i="16"/>
  <c r="B52" i="16"/>
  <c r="C52" i="16"/>
  <c r="D52" i="16"/>
  <c r="E52" i="16"/>
  <c r="F52" i="16"/>
  <c r="B53" i="16"/>
  <c r="C53" i="16"/>
  <c r="D53" i="16"/>
  <c r="E53" i="16"/>
  <c r="F53" i="16"/>
  <c r="E16" i="16"/>
  <c r="D16" i="16"/>
  <c r="C16" i="16"/>
  <c r="F16" i="16"/>
  <c r="B16" i="16"/>
  <c r="F30" i="18"/>
  <c r="F29" i="18"/>
  <c r="F28" i="18"/>
  <c r="E30" i="18"/>
  <c r="D30" i="18"/>
  <c r="C30" i="18"/>
  <c r="E29" i="18"/>
  <c r="D29" i="18"/>
  <c r="C29" i="18"/>
  <c r="E28" i="18"/>
  <c r="D28" i="18"/>
  <c r="C28" i="18"/>
  <c r="B30" i="18"/>
  <c r="B29" i="18"/>
  <c r="B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D5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D5" authorId="0" shapeId="0" xr:uid="{6325E86E-BBE8-444B-B03A-C2566BE787F0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Sum of all values which is greater than '20' in column 'car2'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</authors>
  <commentList>
    <comment ref="C22" authorId="0" shapeId="0" xr:uid="{8D763EB4-B1EF-48AC-A049-A117B62F06C0}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the sum of the sales column is 600 considering NA value is 20 </t>
        </r>
      </text>
    </comment>
  </commentList>
</comments>
</file>

<file path=xl/sharedStrings.xml><?xml version="1.0" encoding="utf-8"?>
<sst xmlns="http://schemas.openxmlformats.org/spreadsheetml/2006/main" count="314" uniqueCount="173">
  <si>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</si>
  <si>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</si>
  <si>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</si>
  <si>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</si>
  <si>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</si>
  <si>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</si>
  <si>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</si>
  <si>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</si>
  <si>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</si>
  <si>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</si>
  <si>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</si>
  <si>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</si>
  <si>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</si>
  <si>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</si>
  <si>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</si>
  <si>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</si>
  <si>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</si>
  <si>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</si>
  <si>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</si>
  <si>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</si>
  <si>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</si>
  <si>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</si>
  <si>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</si>
  <si>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</si>
  <si>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</si>
  <si>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</si>
  <si>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</si>
  <si>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</si>
  <si>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</si>
  <si>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</si>
  <si>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</si>
  <si>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</si>
  <si>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</si>
  <si>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</si>
  <si>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</si>
  <si>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</si>
  <si>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</si>
  <si>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</si>
  <si>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</si>
  <si>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</si>
  <si>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</si>
  <si>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</si>
  <si>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</si>
  <si>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</si>
  <si>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</si>
  <si>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</si>
  <si>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</si>
  <si>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</si>
  <si>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</si>
  <si>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</si>
  <si>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</si>
  <si>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</si>
  <si>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</si>
  <si>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</si>
  <si>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</si>
  <si>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</si>
  <si>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</si>
  <si>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</si>
  <si>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</si>
  <si>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</si>
  <si>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</si>
  <si>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</si>
  <si>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</si>
  <si>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</si>
  <si>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</si>
  <si>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</si>
  <si>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</si>
  <si>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</si>
  <si>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</si>
  <si>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</si>
  <si>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</si>
  <si>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</si>
  <si>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</si>
  <si>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</si>
  <si>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</si>
  <si>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</si>
  <si>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</si>
  <si>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</si>
  <si>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</si>
  <si>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</si>
  <si>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</si>
  <si>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</si>
  <si>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</si>
  <si>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</si>
  <si>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</si>
  <si>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</si>
  <si>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</si>
  <si>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</si>
  <si>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</si>
  <si>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</si>
  <si>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</si>
  <si>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</si>
  <si>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</si>
  <si>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</si>
  <si>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</si>
  <si>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</si>
  <si>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</si>
  <si>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</si>
  <si>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</si>
  <si>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</si>
  <si>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</si>
  <si>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</si>
  <si>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</si>
  <si>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</si>
  <si>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</si>
  <si>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</si>
  <si>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</si>
  <si>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</si>
  <si>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</si>
  <si>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</si>
  <si>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</si>
  <si>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</si>
  <si>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</si>
  <si>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</si>
  <si>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</si>
  <si>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</si>
  <si>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</si>
  <si>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</si>
  <si>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</si>
  <si>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</si>
  <si>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</si>
  <si>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</si>
  <si>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</si>
  <si>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</si>
  <si>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</si>
  <si>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</si>
  <si>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</si>
  <si>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</si>
  <si>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</si>
  <si>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</si>
  <si>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</si>
  <si>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</si>
  <si>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</si>
  <si>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</si>
  <si>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</si>
  <si>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</si>
  <si>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</si>
  <si>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</si>
  <si>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</si>
  <si>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</si>
  <si>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</si>
  <si>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</si>
  <si>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</si>
  <si>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</si>
  <si>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</si>
  <si>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</si>
  <si>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</si>
  <si>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</si>
  <si>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</si>
  <si>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</si>
  <si>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</si>
  <si>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</si>
  <si>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</si>
  <si>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</si>
  <si>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</si>
  <si>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</si>
  <si>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</si>
  <si>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</si>
  <si>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</si>
  <si>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</si>
  <si>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</si>
  <si>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</si>
  <si>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</si>
  <si>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</si>
  <si>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</si>
  <si>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</si>
  <si>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SUMIF(Dataset!H:H,"&gt;20")</t>
  </si>
  <si>
    <r>
      <rPr>
        <b/>
        <sz val="11"/>
        <color rgb="FF000000"/>
        <rFont val="Calibri"/>
        <family val="2"/>
        <scheme val="minor"/>
      </rPr>
      <t>INDEX:</t>
    </r>
    <r>
      <rPr>
        <sz val="11"/>
        <color rgb="FF000000"/>
        <rFont val="Calibri"/>
        <family val="2"/>
        <scheme val="minor"/>
      </rPr>
      <t xml:space="preserve"> to find value in table
</t>
    </r>
    <r>
      <rPr>
        <b/>
        <sz val="11"/>
        <color rgb="FF000000"/>
        <rFont val="Calibri"/>
        <family val="2"/>
        <scheme val="minor"/>
      </rPr>
      <t xml:space="preserve">VLOOKUP: </t>
    </r>
    <r>
      <rPr>
        <sz val="11"/>
        <color rgb="FF000000"/>
        <rFont val="Calibri"/>
        <family val="2"/>
        <scheme val="minor"/>
      </rPr>
      <t>to find correct value of Table "C" from Table "B"</t>
    </r>
    <r>
      <rPr>
        <b/>
        <sz val="11"/>
        <color rgb="FF000000"/>
        <rFont val="Calibri"/>
        <family val="2"/>
        <scheme val="minor"/>
      </rPr>
      <t xml:space="preserve">
MATCH: </t>
    </r>
    <r>
      <rPr>
        <sz val="11"/>
        <color rgb="FF000000"/>
        <rFont val="Calibri"/>
        <family val="2"/>
        <scheme val="minor"/>
      </rPr>
      <t>to match the value from Table "B" in reference to Table "A"</t>
    </r>
  </si>
  <si>
    <t xml:space="preserve">used SUMIF formula to calculate numeric value along with COUNTIF to apply specific condition to use 20 numeric value instead of #N/A  </t>
  </si>
  <si>
    <t>SUMIF(C12:C21,"&lt;&gt;#n/a")+COUNTIF(C12:C21,"#N/A")*20</t>
  </si>
  <si>
    <r>
      <rPr>
        <b/>
        <sz val="11"/>
        <color rgb="FF000000"/>
        <rFont val="Calibri"/>
        <family val="2"/>
        <scheme val="minor"/>
      </rPr>
      <t xml:space="preserve">Frmula: </t>
    </r>
    <r>
      <rPr>
        <sz val="11"/>
        <color rgb="FF000000"/>
        <rFont val="Calibri"/>
        <family val="2"/>
        <scheme val="minor"/>
      </rPr>
      <t>INDEX($B$10:$J$18,MATCH(VLOOKUP(A23,$M$10:$N$18,2,0),$B$9:$J$9),MATCH(VLOOKUP(B23,$M$10:$N$18,2,0),$A$10:$A$18))
INDEX, VLOOKUP, MATCH</t>
    </r>
  </si>
  <si>
    <t xml:space="preserve">LEFT(A16,5), MID(A16,7,6), MID(A16,14,1), MID(A16,16,6), RIGHT(A16,2)  </t>
  </si>
  <si>
    <t xml:space="preserve">Used Left, Mid and Right formula to split alphanumeric value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</si>
</sst>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3" fillId="0" borderId="0" xfId="0" applyNumberFormat="1" applyFont="1"/>
    <xf numFmtId="0" fontId="3" fillId="0" borderId="0" xfId="0" applyFont="1" applyAlignment="1">
      <alignment horizontal="left" vertical="center" wrapText="1"/>
    </xf>
    <xf numFmtId="0" fontId="3" fillId="0" borderId="11" xfId="0" applyFont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2" activePane="bottomLeft" state="frozen"/>
      <selection activeCell="K1" sqref="K1"/>
      <selection pane="bottomLeft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39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39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39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39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39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39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39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39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39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39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39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39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39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39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39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39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39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39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39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39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39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39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39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39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39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39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39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39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39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39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39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39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39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39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39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39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39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39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39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1:X40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C348F3B7-063B-48EB-AF1B-0B3BA773F353}">
            <xm:f>NOT(ISERROR(SEARCH(-1,G1)))</xm:f>
            <xm:f>-1</xm:f>
            <x14:dxf>
              <fill>
                <patternFill>
                  <bgColor rgb="FFFF0000"/>
                </patternFill>
              </fill>
            </x14:dxf>
          </x14:cfRule>
          <xm:sqref>G1:X40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D7"/>
  <sheetViews>
    <sheetView zoomScaleNormal="100" workbookViewId="0"/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16384" width="11" style="1"/>
  </cols>
  <sheetData>
    <row r="1" spans="1:4" x14ac:dyDescent="0.25">
      <c r="A1" s="4" t="s">
        <v>47</v>
      </c>
      <c r="B1" s="4" t="s">
        <v>48</v>
      </c>
      <c r="C1" s="4" t="s">
        <v>44</v>
      </c>
    </row>
    <row r="2" spans="1:4" x14ac:dyDescent="0.25">
      <c r="A2" s="2"/>
      <c r="B2" s="5" t="s">
        <v>155</v>
      </c>
      <c r="C2" s="2"/>
    </row>
    <row r="3" spans="1:4" x14ac:dyDescent="0.25">
      <c r="A3" s="6">
        <v>1</v>
      </c>
      <c r="B3" s="2" t="s">
        <v>107</v>
      </c>
      <c r="C3" s="2" t="s">
        <v>45</v>
      </c>
    </row>
    <row r="4" spans="1:4" x14ac:dyDescent="0.25">
      <c r="A4" s="6">
        <v>2</v>
      </c>
      <c r="B4" s="2" t="s">
        <v>46</v>
      </c>
      <c r="C4" s="2"/>
    </row>
    <row r="5" spans="1:4" x14ac:dyDescent="0.25">
      <c r="A5" s="6">
        <v>3</v>
      </c>
      <c r="B5" s="2" t="s">
        <v>104</v>
      </c>
      <c r="C5" s="33" t="s">
        <v>166</v>
      </c>
      <c r="D5" s="1">
        <f>SUMIF(Dataset!H:H,"&gt;20")</f>
        <v>1473.0000000000002</v>
      </c>
    </row>
    <row r="6" spans="1:4" x14ac:dyDescent="0.25">
      <c r="A6" s="6">
        <v>4</v>
      </c>
      <c r="B6" s="2" t="s">
        <v>106</v>
      </c>
      <c r="C6" s="2"/>
    </row>
    <row r="7" spans="1:4" x14ac:dyDescent="0.25">
      <c r="A7" s="2"/>
      <c r="B7" s="2"/>
      <c r="C7" s="2"/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/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35" customFormat="1" ht="21" x14ac:dyDescent="0.35">
      <c r="A1" s="36" t="s">
        <v>55</v>
      </c>
      <c r="B1" s="35" t="s">
        <v>159</v>
      </c>
    </row>
    <row r="2" spans="1:7" s="35" customFormat="1" ht="21" x14ac:dyDescent="0.35">
      <c r="B2" s="35" t="s">
        <v>156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157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>VLOOKUP(A6,Dataset!A:G,7,0)</f>
        <v>2.7</v>
      </c>
      <c r="C6" s="11">
        <f>VLOOKUP(A6,Dataset!A:N,14,0)</f>
        <v>7.6</v>
      </c>
      <c r="D6" s="11">
        <f>VLOOKUP(A6,Dataset!A:T,18,0)</f>
        <v>4.2</v>
      </c>
      <c r="E6" s="11">
        <f>VLOOKUP(A6,Dataset!A:T,20,0)</f>
        <v>8.9</v>
      </c>
      <c r="F6" s="8">
        <f>VLOOKUP(A6,Dataset!A:V,22,0)</f>
        <v>4.2</v>
      </c>
    </row>
    <row r="7" spans="1:7" ht="15" x14ac:dyDescent="0.25">
      <c r="A7" s="7" t="s">
        <v>4</v>
      </c>
      <c r="B7" s="11">
        <f>VLOOKUP(A7,Dataset!A:G,7,0)</f>
        <v>2.7</v>
      </c>
      <c r="C7" s="11">
        <f>VLOOKUP(A7,Dataset!A:N,14,0)</f>
        <v>7.6</v>
      </c>
      <c r="D7" s="11">
        <f>VLOOKUP(A7,Dataset!A:T,18,0)</f>
        <v>4.2</v>
      </c>
      <c r="E7" s="11">
        <f>VLOOKUP(A7,Dataset!A:T,20,0)</f>
        <v>8.9</v>
      </c>
      <c r="F7" s="8">
        <f>VLOOKUP(A7,Dataset!A:V,22,0)</f>
        <v>4.2</v>
      </c>
    </row>
    <row r="8" spans="1:7" ht="15" x14ac:dyDescent="0.25">
      <c r="A8" s="7" t="s">
        <v>7</v>
      </c>
      <c r="B8" s="11">
        <f>VLOOKUP(A8,Dataset!A:G,7,0)</f>
        <v>3.6</v>
      </c>
      <c r="C8" s="11">
        <f>VLOOKUP(A8,Dataset!A:N,14,0)</f>
        <v>11.1</v>
      </c>
      <c r="D8" s="11">
        <f>VLOOKUP(A8,Dataset!A:T,18,0)</f>
        <v>5.8</v>
      </c>
      <c r="E8" s="11">
        <f>VLOOKUP(A8,Dataset!A:T,20,0)</f>
        <v>12.2</v>
      </c>
      <c r="F8" s="8">
        <f>VLOOKUP(A8,Dataset!A:V,22,0)</f>
        <v>5.8</v>
      </c>
    </row>
    <row r="9" spans="1:7" ht="15" x14ac:dyDescent="0.25">
      <c r="A9" s="7" t="s">
        <v>8</v>
      </c>
      <c r="B9" s="11">
        <f>VLOOKUP(A9,Dataset!A:G,7,0)</f>
        <v>4.9000000000000004</v>
      </c>
      <c r="C9" s="11">
        <f>VLOOKUP(A9,Dataset!A:N,14,0)</f>
        <v>13.3</v>
      </c>
      <c r="D9" s="11">
        <f>VLOOKUP(A9,Dataset!A:T,18,0)</f>
        <v>8.1</v>
      </c>
      <c r="E9" s="11">
        <f>VLOOKUP(A9,Dataset!A:T,20,0)</f>
        <v>17</v>
      </c>
      <c r="F9" s="8">
        <f>VLOOKUP(A9,Dataset!A:V,22,0)</f>
        <v>8.1</v>
      </c>
    </row>
    <row r="10" spans="1:7" ht="15" x14ac:dyDescent="0.25">
      <c r="A10" s="7" t="s">
        <v>11</v>
      </c>
      <c r="B10" s="11">
        <f>VLOOKUP(A10,Dataset!A:G,7,0)</f>
        <v>9.4</v>
      </c>
      <c r="C10" s="11">
        <f>VLOOKUP(A10,Dataset!A:N,14,0)</f>
        <v>28.3</v>
      </c>
      <c r="D10" s="11">
        <f>VLOOKUP(A10,Dataset!A:T,18,0)</f>
        <v>16.100000000000001</v>
      </c>
      <c r="E10" s="11">
        <f>VLOOKUP(A10,Dataset!A:T,20,0)</f>
        <v>32.799999999999997</v>
      </c>
      <c r="F10" s="8">
        <f>VLOOKUP(A10,Dataset!A:V,22,0)</f>
        <v>16.100000000000001</v>
      </c>
    </row>
    <row r="11" spans="1:7" ht="15" x14ac:dyDescent="0.25">
      <c r="A11" s="7" t="s">
        <v>12</v>
      </c>
      <c r="B11" s="11">
        <f>VLOOKUP(A11,Dataset!A:G,7,0)</f>
        <v>11.6</v>
      </c>
      <c r="C11" s="11">
        <f>VLOOKUP(A11,Dataset!A:N,14,0)</f>
        <v>35.200000000000003</v>
      </c>
      <c r="D11" s="11">
        <f>VLOOKUP(A11,Dataset!A:T,18,0)</f>
        <v>21.3</v>
      </c>
      <c r="E11" s="11">
        <f>VLOOKUP(A11,Dataset!A:T,20,0)</f>
        <v>43</v>
      </c>
      <c r="F11" s="8">
        <f>VLOOKUP(A11,Dataset!A:V,22,0)</f>
        <v>21.3</v>
      </c>
    </row>
    <row r="12" spans="1:7" ht="15" x14ac:dyDescent="0.25">
      <c r="A12" s="7" t="s">
        <v>14</v>
      </c>
      <c r="B12" s="11">
        <f>VLOOKUP(A12,Dataset!A:G,7,0)</f>
        <v>18.399999999999999</v>
      </c>
      <c r="C12" s="11">
        <f>VLOOKUP(A12,Dataset!A:N,14,0)</f>
        <v>55.6</v>
      </c>
      <c r="D12" s="11">
        <f>VLOOKUP(A12,Dataset!A:T,18,0)</f>
        <v>33.799999999999997</v>
      </c>
      <c r="E12" s="11">
        <f>VLOOKUP(A12,Dataset!A:T,20,0)</f>
        <v>67.900000000000006</v>
      </c>
      <c r="F12" s="8">
        <f>VLOOKUP(A12,Dataset!A:V,22,0)</f>
        <v>33.799999999999997</v>
      </c>
    </row>
    <row r="13" spans="1:7" ht="15" x14ac:dyDescent="0.25">
      <c r="A13" s="7" t="s">
        <v>15</v>
      </c>
      <c r="B13" s="11">
        <f>VLOOKUP(A13,Dataset!A:G,7,0)</f>
        <v>0</v>
      </c>
      <c r="C13" s="11">
        <f>VLOOKUP(A13,Dataset!A:N,14,0)</f>
        <v>0</v>
      </c>
      <c r="D13" s="11">
        <f>VLOOKUP(A13,Dataset!A:T,18,0)</f>
        <v>0</v>
      </c>
      <c r="E13" s="11">
        <f>VLOOKUP(A13,Dataset!A:T,20,0)</f>
        <v>0</v>
      </c>
      <c r="F13" s="8">
        <f>VLOOKUP(A13,Dataset!A:V,22,0)</f>
        <v>0</v>
      </c>
    </row>
    <row r="14" spans="1:7" ht="15" x14ac:dyDescent="0.25">
      <c r="A14" s="7" t="s">
        <v>16</v>
      </c>
      <c r="B14" s="11">
        <f>VLOOKUP(A14,Dataset!A:G,7,0)</f>
        <v>21.9</v>
      </c>
      <c r="C14" s="11">
        <f>VLOOKUP(A14,Dataset!A:N,14,0)</f>
        <v>61.5</v>
      </c>
      <c r="D14" s="11">
        <f>VLOOKUP(A14,Dataset!A:T,18,0)</f>
        <v>40.1</v>
      </c>
      <c r="E14" s="11">
        <f>VLOOKUP(A14,Dataset!A:T,20,0)</f>
        <v>76.599999999999994</v>
      </c>
      <c r="F14" s="8">
        <f>VLOOKUP(A14,Dataset!A:V,22,0)</f>
        <v>40.1</v>
      </c>
    </row>
    <row r="15" spans="1:7" ht="15" x14ac:dyDescent="0.25">
      <c r="A15" s="7" t="s">
        <v>18</v>
      </c>
      <c r="B15" s="11">
        <f>VLOOKUP(A15,Dataset!A:G,7,0)</f>
        <v>26.8</v>
      </c>
      <c r="C15" s="11">
        <f>VLOOKUP(A15,Dataset!A:N,14,0)</f>
        <v>79.599999999999994</v>
      </c>
      <c r="D15" s="11">
        <f>VLOOKUP(A15,Dataset!A:T,18,0)</f>
        <v>47.9</v>
      </c>
      <c r="E15" s="11">
        <f>VLOOKUP(A15,Dataset!A:T,20,0)</f>
        <v>96.8</v>
      </c>
      <c r="F15" s="8">
        <f>VLOOKUP(A15,Dataset!A:V,22,0)</f>
        <v>47.9</v>
      </c>
    </row>
    <row r="16" spans="1:7" ht="15" x14ac:dyDescent="0.25">
      <c r="A16" s="7" t="s">
        <v>20</v>
      </c>
      <c r="B16" s="11">
        <f>VLOOKUP(A16,Dataset!A:G,7,0)</f>
        <v>28.5</v>
      </c>
      <c r="C16" s="11">
        <f>VLOOKUP(A16,Dataset!A:N,14,0)</f>
        <v>85.4</v>
      </c>
      <c r="D16" s="11">
        <f>VLOOKUP(A16,Dataset!A:T,18,0)</f>
        <v>52.3</v>
      </c>
      <c r="E16" s="11">
        <f>VLOOKUP(A16,Dataset!A:T,20,0)</f>
        <v>106.1</v>
      </c>
      <c r="F16" s="8">
        <f>VLOOKUP(A16,Dataset!A:V,22,0)</f>
        <v>52.3</v>
      </c>
    </row>
    <row r="17" spans="1:6" ht="15" x14ac:dyDescent="0.25">
      <c r="A17" s="7" t="s">
        <v>22</v>
      </c>
      <c r="B17" s="11">
        <f>VLOOKUP(A17,Dataset!A:G,7,0)</f>
        <v>30.7</v>
      </c>
      <c r="C17" s="11">
        <f>VLOOKUP(A17,Dataset!A:N,14,0)</f>
        <v>92.1</v>
      </c>
      <c r="D17" s="11">
        <f>VLOOKUP(A17,Dataset!A:T,18,0)</f>
        <v>57</v>
      </c>
      <c r="E17" s="11">
        <f>VLOOKUP(A17,Dataset!A:T,20,0)</f>
        <v>115.1</v>
      </c>
      <c r="F17" s="8">
        <f>VLOOKUP(A17,Dataset!A:V,22,0)</f>
        <v>57</v>
      </c>
    </row>
    <row r="18" spans="1:6" ht="15" x14ac:dyDescent="0.25">
      <c r="A18" s="7" t="s">
        <v>23</v>
      </c>
      <c r="B18" s="11">
        <f>VLOOKUP(A18,Dataset!A:G,7,0)</f>
        <v>33.799999999999997</v>
      </c>
      <c r="C18" s="11">
        <f>VLOOKUP(A18,Dataset!A:N,14,0)</f>
        <v>101.3</v>
      </c>
      <c r="D18" s="11">
        <f>VLOOKUP(A18,Dataset!A:T,18,0)</f>
        <v>61.4</v>
      </c>
      <c r="E18" s="11">
        <f>VLOOKUP(A18,Dataset!A:T,20,0)</f>
        <v>124.4</v>
      </c>
      <c r="F18" s="8">
        <f>VLOOKUP(A18,Dataset!A:V,22,0)</f>
        <v>61.4</v>
      </c>
    </row>
    <row r="19" spans="1:6" ht="15" x14ac:dyDescent="0.25">
      <c r="A19" s="7" t="s">
        <v>24</v>
      </c>
      <c r="B19" s="11">
        <f>VLOOKUP(A19,Dataset!A:G,7,0)</f>
        <v>34.700000000000003</v>
      </c>
      <c r="C19" s="11">
        <f>VLOOKUP(A19,Dataset!A:N,14,0)</f>
        <v>106.1</v>
      </c>
      <c r="D19" s="11">
        <f>VLOOKUP(A19,Dataset!A:T,18,0)</f>
        <v>63.6</v>
      </c>
      <c r="E19" s="11">
        <f>VLOOKUP(A19,Dataset!A:T,20,0)</f>
        <v>128.6</v>
      </c>
      <c r="F19" s="8">
        <f>VLOOKUP(A19,Dataset!A:V,22,0)</f>
        <v>63.6</v>
      </c>
    </row>
    <row r="20" spans="1:6" ht="15" x14ac:dyDescent="0.25">
      <c r="A20" s="7" t="s">
        <v>28</v>
      </c>
      <c r="B20" s="11">
        <f>VLOOKUP(A20,Dataset!A:G,7,0)</f>
        <v>0</v>
      </c>
      <c r="C20" s="11">
        <f>VLOOKUP(A20,Dataset!A:N,14,0)</f>
        <v>0</v>
      </c>
      <c r="D20" s="11">
        <f>VLOOKUP(A20,Dataset!A:T,18,0)</f>
        <v>0</v>
      </c>
      <c r="E20" s="11">
        <f>VLOOKUP(A20,Dataset!A:T,20,0)</f>
        <v>0</v>
      </c>
      <c r="F20" s="8">
        <f>VLOOKUP(A20,Dataset!A:V,22,0)</f>
        <v>0</v>
      </c>
    </row>
    <row r="21" spans="1:6" ht="15" x14ac:dyDescent="0.25">
      <c r="A21" s="7" t="s">
        <v>57</v>
      </c>
      <c r="B21" s="11">
        <f>VLOOKUP(A21,Dataset!A:G,7,0)</f>
        <v>41.3</v>
      </c>
      <c r="C21" s="11">
        <f>VLOOKUP(A21,Dataset!A:N,14,0)</f>
        <v>124.4</v>
      </c>
      <c r="D21" s="11">
        <f>VLOOKUP(A21,Dataset!A:T,18,0)</f>
        <v>75</v>
      </c>
      <c r="E21" s="11">
        <f>VLOOKUP(A21,Dataset!A:T,20,0)</f>
        <v>151.5</v>
      </c>
      <c r="F21" s="8">
        <f>VLOOKUP(A21,Dataset!A:V,22,0)</f>
        <v>75</v>
      </c>
    </row>
    <row r="22" spans="1:6" ht="15" x14ac:dyDescent="0.25">
      <c r="A22" s="7" t="s">
        <v>58</v>
      </c>
      <c r="B22" s="11">
        <f>VLOOKUP(A22,Dataset!A:G,7,0)</f>
        <v>-1</v>
      </c>
      <c r="C22" s="11">
        <f>VLOOKUP(A22,Dataset!A:N,14,0)</f>
        <v>-1</v>
      </c>
      <c r="D22" s="11">
        <f>VLOOKUP(A22,Dataset!A:T,18,0)</f>
        <v>-1</v>
      </c>
      <c r="E22" s="11">
        <f>VLOOKUP(A22,Dataset!A:T,20,0)</f>
        <v>-1</v>
      </c>
      <c r="F22" s="8">
        <f>VLOOKUP(A22,Dataset!A:V,22,0)</f>
        <v>-1</v>
      </c>
    </row>
    <row r="23" spans="1:6" ht="15" x14ac:dyDescent="0.25">
      <c r="A23" s="7" t="s">
        <v>31</v>
      </c>
      <c r="B23" s="11">
        <f>VLOOKUP(A23,Dataset!A:G,7,0)</f>
        <v>45</v>
      </c>
      <c r="C23" s="11">
        <f>VLOOKUP(A23,Dataset!A:N,14,0)</f>
        <v>133.4</v>
      </c>
      <c r="D23" s="11">
        <f>VLOOKUP(A23,Dataset!A:T,18,0)</f>
        <v>79.400000000000006</v>
      </c>
      <c r="E23" s="11">
        <f>VLOOKUP(A23,Dataset!A:T,20,0)</f>
        <v>160.9</v>
      </c>
      <c r="F23" s="8">
        <f>VLOOKUP(A23,Dataset!A:V,22,0)</f>
        <v>79.400000000000006</v>
      </c>
    </row>
    <row r="24" spans="1:6" ht="15" x14ac:dyDescent="0.25">
      <c r="A24" s="7" t="s">
        <v>32</v>
      </c>
      <c r="B24" s="11">
        <f>VLOOKUP(A24,Dataset!A:G,7,0)</f>
        <v>-1</v>
      </c>
      <c r="C24" s="11">
        <f>VLOOKUP(A24,Dataset!A:N,14,0)</f>
        <v>-1</v>
      </c>
      <c r="D24" s="11">
        <f>VLOOKUP(A24,Dataset!A:T,18,0)</f>
        <v>-1</v>
      </c>
      <c r="E24" s="11">
        <f>VLOOKUP(A24,Dataset!A:T,20,0)</f>
        <v>-1</v>
      </c>
      <c r="F24" s="8">
        <f>VLOOKUP(A24,Dataset!A:V,22,0)</f>
        <v>-1</v>
      </c>
    </row>
    <row r="25" spans="1:6" ht="15" x14ac:dyDescent="0.25">
      <c r="A25" s="7" t="s">
        <v>34</v>
      </c>
      <c r="B25" s="11">
        <f>VLOOKUP(A25,Dataset!A:G,7,0)</f>
        <v>43.3</v>
      </c>
      <c r="C25" s="11">
        <f>VLOOKUP(A25,Dataset!A:N,14,0)</f>
        <v>128.6</v>
      </c>
      <c r="D25" s="11">
        <f>VLOOKUP(A25,Dataset!A:T,18,0)</f>
        <v>79.400000000000006</v>
      </c>
      <c r="E25" s="11">
        <f>VLOOKUP(A25,Dataset!A:T,20,0)</f>
        <v>160.9</v>
      </c>
      <c r="F25" s="8">
        <f>VLOOKUP(A25,Dataset!A:V,22,0)</f>
        <v>79.400000000000006</v>
      </c>
    </row>
    <row r="26" spans="1:6" ht="15" x14ac:dyDescent="0.25">
      <c r="A26" s="7" t="s">
        <v>37</v>
      </c>
      <c r="B26" s="11">
        <f>VLOOKUP(A26,Dataset!A:G,7,0)</f>
        <v>49.1</v>
      </c>
      <c r="C26" s="11">
        <f>VLOOKUP(A26,Dataset!A:N,14,0)</f>
        <v>146.80000000000001</v>
      </c>
      <c r="D26" s="11">
        <f>VLOOKUP(A26,Dataset!A:T,18,0)</f>
        <v>90.9</v>
      </c>
      <c r="E26" s="11">
        <f>VLOOKUP(A26,Dataset!A:T,20,0)</f>
        <v>183.5</v>
      </c>
      <c r="F26" s="8">
        <f>VLOOKUP(A26,Dataset!A:V,22,0)</f>
        <v>90.9</v>
      </c>
    </row>
    <row r="27" spans="1:6" ht="15" x14ac:dyDescent="0.25">
      <c r="A27" s="7" t="s">
        <v>39</v>
      </c>
      <c r="B27" s="11">
        <f>VLOOKUP(A27,Dataset!A:G,7,0)</f>
        <v>51.8</v>
      </c>
      <c r="C27" s="11">
        <f>VLOOKUP(A27,Dataset!A:N,14,0)</f>
        <v>156.4</v>
      </c>
      <c r="D27" s="11">
        <f>VLOOKUP(A27,Dataset!A:T,18,0)</f>
        <v>93.1</v>
      </c>
      <c r="E27" s="11">
        <f>VLOOKUP(A27,Dataset!A:T,20,0)</f>
        <v>188.1</v>
      </c>
      <c r="F27" s="8">
        <f>VLOOKUP(A27,Dataset!A:V,22,0)</f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 x14ac:dyDescent="0.25">
      <c r="A29" s="18" t="s">
        <v>83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5" x14ac:dyDescent="0.25">
      <c r="A30" s="18" t="s">
        <v>84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35" customFormat="1" ht="21" x14ac:dyDescent="0.35">
      <c r="A1" s="36" t="s">
        <v>56</v>
      </c>
      <c r="B1" s="35" t="s">
        <v>164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147</v>
      </c>
    </row>
    <row r="5" spans="1:10" ht="18.75" x14ac:dyDescent="0.3">
      <c r="A5" s="37" t="s">
        <v>53</v>
      </c>
      <c r="B5" s="34" t="s">
        <v>171</v>
      </c>
    </row>
    <row r="6" spans="1:10" ht="18.75" x14ac:dyDescent="0.3">
      <c r="A6" s="37" t="s">
        <v>148</v>
      </c>
      <c r="B6" s="34" t="s">
        <v>172</v>
      </c>
    </row>
    <row r="7" spans="1:10" ht="18.75" x14ac:dyDescent="0.3">
      <c r="A7" s="37"/>
      <c r="B7" s="34"/>
    </row>
    <row r="9" spans="1:10" ht="23.25" x14ac:dyDescent="0.35">
      <c r="A9" s="17" t="s">
        <v>160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117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157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117</v>
      </c>
      <c r="B16" s="11" t="str">
        <f>LEFT(A16,5)</f>
        <v>20000</v>
      </c>
      <c r="C16" s="1" t="str">
        <f>MID(A16,7,6)</f>
        <v>Monday</v>
      </c>
      <c r="D16" s="11" t="str">
        <f>MID(A16,14,1)</f>
        <v>0</v>
      </c>
      <c r="E16" s="1" t="str">
        <f>MID(A16,16,6)</f>
        <v>Sunday</v>
      </c>
      <c r="F16" s="11" t="str">
        <f>RIGHT(A16,2)</f>
        <v>24</v>
      </c>
    </row>
    <row r="17" spans="1:6" x14ac:dyDescent="0.25">
      <c r="A17" s="7" t="s">
        <v>118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11" t="str">
        <f t="shared" ref="D17:D54" si="2">MID(A17,14,1)</f>
        <v>0</v>
      </c>
      <c r="E17" s="1" t="str">
        <f t="shared" ref="E17:E54" si="3">MID(A17,16,6)</f>
        <v>Sunday</v>
      </c>
      <c r="F17" s="11" t="str">
        <f t="shared" ref="F17:F54" si="4">RIGHT(A17,2)</f>
        <v>24</v>
      </c>
    </row>
    <row r="18" spans="1:6" x14ac:dyDescent="0.25">
      <c r="A18" s="7" t="s">
        <v>119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 x14ac:dyDescent="0.25">
      <c r="A19" s="7" t="s">
        <v>120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 x14ac:dyDescent="0.25">
      <c r="A20" s="7" t="s">
        <v>121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 x14ac:dyDescent="0.25">
      <c r="A21" s="7" t="s">
        <v>122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 x14ac:dyDescent="0.25">
      <c r="A22" s="7" t="s">
        <v>123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 x14ac:dyDescent="0.25">
      <c r="A23" s="7" t="s">
        <v>124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 x14ac:dyDescent="0.25">
      <c r="A24" s="7" t="s">
        <v>125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 x14ac:dyDescent="0.25">
      <c r="A25" s="7" t="s">
        <v>126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 x14ac:dyDescent="0.25">
      <c r="A26" s="7" t="s">
        <v>127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 x14ac:dyDescent="0.25">
      <c r="A27" s="7" t="s">
        <v>128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 x14ac:dyDescent="0.25">
      <c r="A28" s="7" t="s">
        <v>129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 x14ac:dyDescent="0.25">
      <c r="A29" s="7" t="s">
        <v>130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 x14ac:dyDescent="0.25">
      <c r="A30" s="7" t="s">
        <v>131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 x14ac:dyDescent="0.25">
      <c r="A31" s="7" t="s">
        <v>132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 x14ac:dyDescent="0.25">
      <c r="A32" s="7" t="s">
        <v>133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 x14ac:dyDescent="0.25">
      <c r="A33" s="7" t="s">
        <v>134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 x14ac:dyDescent="0.25">
      <c r="A34" s="7" t="s">
        <v>135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 x14ac:dyDescent="0.25">
      <c r="A35" s="7" t="s">
        <v>136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 x14ac:dyDescent="0.25">
      <c r="A36" s="7" t="s">
        <v>137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 x14ac:dyDescent="0.25">
      <c r="A37" s="7" t="s">
        <v>138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 x14ac:dyDescent="0.25">
      <c r="A38" s="7" t="s">
        <v>139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 x14ac:dyDescent="0.25">
      <c r="A39" s="7" t="s">
        <v>140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 x14ac:dyDescent="0.25">
      <c r="A40" s="7" t="s">
        <v>141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 x14ac:dyDescent="0.25">
      <c r="A41" s="7" t="s">
        <v>142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 x14ac:dyDescent="0.25">
      <c r="A42" s="7" t="s">
        <v>143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 x14ac:dyDescent="0.25">
      <c r="A43" s="7" t="s">
        <v>144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 x14ac:dyDescent="0.25">
      <c r="A44" s="7" t="s">
        <v>145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 x14ac:dyDescent="0.25">
      <c r="A45" s="7" t="s">
        <v>146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 x14ac:dyDescent="0.25">
      <c r="A46" s="7" t="s">
        <v>108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 x14ac:dyDescent="0.25">
      <c r="A47" s="7" t="s">
        <v>109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 x14ac:dyDescent="0.25">
      <c r="A48" s="7" t="s">
        <v>110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 x14ac:dyDescent="0.25">
      <c r="A49" s="7" t="s">
        <v>111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 x14ac:dyDescent="0.25">
      <c r="A50" s="7" t="s">
        <v>112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 x14ac:dyDescent="0.25">
      <c r="A51" s="7" t="s">
        <v>113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 x14ac:dyDescent="0.25">
      <c r="A52" s="7" t="s">
        <v>114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 x14ac:dyDescent="0.25">
      <c r="A53" s="7" t="s">
        <v>115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 x14ac:dyDescent="0.25">
      <c r="A54" s="9" t="s">
        <v>116</v>
      </c>
      <c r="B54" s="12" t="str">
        <f t="shared" si="0"/>
        <v>21016</v>
      </c>
      <c r="C54" s="41" t="str">
        <f t="shared" si="1"/>
        <v>Monday</v>
      </c>
      <c r="D54" s="12" t="str">
        <f t="shared" si="2"/>
        <v>0</v>
      </c>
      <c r="E54" s="41" t="str">
        <f t="shared" si="3"/>
        <v>Sunday</v>
      </c>
      <c r="F54" s="12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1" style="2" customWidth="1"/>
    <col min="5" max="5" width="13.1640625" style="2" bestFit="1" customWidth="1"/>
    <col min="6" max="6" width="10.83203125" style="2" bestFit="1" customWidth="1"/>
    <col min="7" max="7" width="13.33203125" style="2" bestFit="1" customWidth="1"/>
    <col min="8" max="9" width="14.6640625" style="2" bestFit="1" customWidth="1"/>
    <col min="10" max="10" width="17.83203125" style="2" bestFit="1" customWidth="1"/>
    <col min="11" max="11" width="11" style="2" bestFit="1" customWidth="1"/>
    <col min="12" max="12" width="9" style="2" bestFit="1" customWidth="1"/>
    <col min="13" max="13" width="10.83203125" style="2" bestFit="1" customWidth="1"/>
    <col min="14" max="14" width="12.33203125" style="2" bestFit="1" customWidth="1"/>
    <col min="15" max="15" width="11" style="2" bestFit="1" customWidth="1"/>
    <col min="16" max="16" width="8" style="2" bestFit="1" customWidth="1"/>
    <col min="17" max="17" width="12.33203125" style="2" bestFit="1" customWidth="1"/>
    <col min="18" max="18" width="12.6640625" style="2" bestFit="1" customWidth="1"/>
    <col min="19" max="19" width="24.1640625" style="2" bestFit="1" customWidth="1"/>
    <col min="20" max="20" width="12.6640625" style="2" bestFit="1" customWidth="1"/>
    <col min="21" max="21" width="16" style="2" bestFit="1" customWidth="1"/>
    <col min="22" max="22" width="9" style="2" bestFit="1" customWidth="1"/>
    <col min="23" max="23" width="10.83203125" style="2" bestFit="1" customWidth="1"/>
    <col min="24" max="25" width="13.33203125" style="2" bestFit="1" customWidth="1"/>
    <col min="26" max="26" width="15" style="2" bestFit="1" customWidth="1"/>
    <col min="27" max="16384" width="11" style="2"/>
  </cols>
  <sheetData>
    <row r="1" spans="1:3" ht="21" x14ac:dyDescent="0.35">
      <c r="A1" s="36" t="s">
        <v>85</v>
      </c>
      <c r="B1" s="35" t="s">
        <v>162</v>
      </c>
    </row>
    <row r="2" spans="1:3" ht="18.75" x14ac:dyDescent="0.3">
      <c r="B2" s="34" t="s">
        <v>161</v>
      </c>
    </row>
    <row r="5" spans="1:3" ht="15" x14ac:dyDescent="0.25">
      <c r="B5" s="1" t="s">
        <v>147</v>
      </c>
    </row>
    <row r="6" spans="1:3" ht="15" x14ac:dyDescent="0.25">
      <c r="A6" s="3" t="s">
        <v>53</v>
      </c>
      <c r="B6" s="1" t="s">
        <v>169</v>
      </c>
    </row>
    <row r="7" spans="1:3" ht="15" x14ac:dyDescent="0.25">
      <c r="A7" s="3" t="s">
        <v>148</v>
      </c>
      <c r="B7" s="1" t="s">
        <v>168</v>
      </c>
    </row>
    <row r="10" spans="1:3" ht="23.25" x14ac:dyDescent="0.35">
      <c r="A10" s="17" t="s">
        <v>157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149</v>
      </c>
      <c r="C17" s="16">
        <v>150</v>
      </c>
    </row>
    <row r="18" spans="1:3" ht="15" x14ac:dyDescent="0.25">
      <c r="A18" s="31">
        <v>44933</v>
      </c>
      <c r="B18" s="16" t="s">
        <v>150</v>
      </c>
      <c r="C18" s="16">
        <v>80</v>
      </c>
    </row>
    <row r="19" spans="1:3" ht="15" x14ac:dyDescent="0.25">
      <c r="A19" s="31">
        <v>44934</v>
      </c>
      <c r="B19" s="16" t="s">
        <v>151</v>
      </c>
      <c r="C19" s="16" t="e">
        <v>#N/A</v>
      </c>
    </row>
    <row r="20" spans="1:3" ht="15" x14ac:dyDescent="0.25">
      <c r="A20" s="31">
        <v>44935</v>
      </c>
      <c r="B20" s="16" t="s">
        <v>152</v>
      </c>
      <c r="C20" s="16">
        <v>30</v>
      </c>
    </row>
    <row r="21" spans="1:3" ht="15" x14ac:dyDescent="0.25">
      <c r="A21" s="31">
        <v>44936</v>
      </c>
      <c r="B21" s="16" t="s">
        <v>153</v>
      </c>
      <c r="C21" s="16" t="e">
        <v>#N/A</v>
      </c>
    </row>
    <row r="22" spans="1:3" ht="15" x14ac:dyDescent="0.25">
      <c r="B22" s="16" t="s">
        <v>154</v>
      </c>
      <c r="C22" s="24">
        <f>SUMIF(C12:C21,"&lt;&gt;#n/a")+COUNTIF(C12:C21,"#N/A")*20</f>
        <v>600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/>
  </sheetViews>
  <sheetFormatPr defaultColWidth="11" defaultRowHeight="12.75" x14ac:dyDescent="0.2"/>
  <cols>
    <col min="1" max="1" width="38.5" style="2" customWidth="1"/>
    <col min="2" max="16384" width="11" style="2"/>
  </cols>
  <sheetData>
    <row r="1" spans="1:14" ht="21" x14ac:dyDescent="0.35">
      <c r="A1" s="36" t="s">
        <v>98</v>
      </c>
      <c r="B1" s="35" t="s">
        <v>165</v>
      </c>
    </row>
    <row r="3" spans="1:14" ht="15" x14ac:dyDescent="0.25">
      <c r="B3" s="1" t="s">
        <v>147</v>
      </c>
    </row>
    <row r="4" spans="1:14" ht="78" customHeight="1" x14ac:dyDescent="0.3">
      <c r="A4" s="37" t="s">
        <v>53</v>
      </c>
      <c r="B4" s="1"/>
      <c r="C4" s="40" t="s">
        <v>170</v>
      </c>
      <c r="D4" s="40"/>
      <c r="E4" s="40"/>
      <c r="F4" s="40"/>
      <c r="G4" s="40"/>
      <c r="H4" s="40"/>
    </row>
    <row r="5" spans="1:14" ht="45.75" customHeight="1" x14ac:dyDescent="0.3">
      <c r="A5" s="37" t="s">
        <v>148</v>
      </c>
      <c r="B5" s="40" t="s">
        <v>167</v>
      </c>
      <c r="C5" s="40"/>
      <c r="D5" s="40"/>
      <c r="E5" s="40"/>
      <c r="F5" s="40"/>
      <c r="G5" s="40"/>
    </row>
    <row r="6" spans="1:14" ht="15" customHeight="1" x14ac:dyDescent="0.25">
      <c r="A6" s="3"/>
      <c r="B6" s="1"/>
    </row>
    <row r="8" spans="1:14" ht="23.25" x14ac:dyDescent="0.35">
      <c r="A8" s="17" t="s">
        <v>157</v>
      </c>
      <c r="M8" s="17" t="s">
        <v>158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163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38">
        <f>INDEX($B$10:$J$18,MATCH(VLOOKUP(A23,$M$10:$N$18,2,0),$B$9:$J$9),MATCH(VLOOKUP(B23,$M$10:$N$18,2,0),$A$10:$A$18))</f>
        <v>95</v>
      </c>
    </row>
    <row r="24" spans="1:14" ht="15" x14ac:dyDescent="0.25">
      <c r="A24" s="7">
        <v>10100</v>
      </c>
      <c r="B24" s="11">
        <v>10104</v>
      </c>
      <c r="C24" s="38">
        <f t="shared" ref="C24:C35" si="0">INDEX($B$10:$J$18,MATCH(VLOOKUP(A24,$M$10:$N$18,2,0),$B$9:$J$9),MATCH(VLOOKUP(B24,$M$10:$N$18,2,0),$A$10:$A$18))</f>
        <v>-1</v>
      </c>
    </row>
    <row r="25" spans="1:14" ht="15" x14ac:dyDescent="0.25">
      <c r="A25" s="7">
        <v>10108</v>
      </c>
      <c r="B25" s="11">
        <v>10102</v>
      </c>
      <c r="C25" s="38">
        <f t="shared" si="0"/>
        <v>160</v>
      </c>
    </row>
    <row r="26" spans="1:14" ht="15" x14ac:dyDescent="0.25">
      <c r="A26" s="7">
        <v>10100</v>
      </c>
      <c r="B26" s="11">
        <v>10106</v>
      </c>
      <c r="C26" s="38">
        <f t="shared" si="0"/>
        <v>185</v>
      </c>
    </row>
    <row r="27" spans="1:14" ht="15" x14ac:dyDescent="0.25">
      <c r="A27" s="7">
        <v>10108</v>
      </c>
      <c r="B27" s="11">
        <v>10110</v>
      </c>
      <c r="C27" s="38">
        <f t="shared" si="0"/>
        <v>50</v>
      </c>
    </row>
    <row r="28" spans="1:14" ht="15" x14ac:dyDescent="0.25">
      <c r="A28" s="7">
        <v>10102</v>
      </c>
      <c r="B28" s="11">
        <v>10104</v>
      </c>
      <c r="C28" s="38">
        <f t="shared" si="0"/>
        <v>-1</v>
      </c>
    </row>
    <row r="29" spans="1:14" ht="15" x14ac:dyDescent="0.25">
      <c r="A29" s="7">
        <v>10106</v>
      </c>
      <c r="B29" s="11">
        <v>10108</v>
      </c>
      <c r="C29" s="38">
        <f t="shared" si="0"/>
        <v>70</v>
      </c>
    </row>
    <row r="30" spans="1:14" ht="15" x14ac:dyDescent="0.25">
      <c r="A30" s="7">
        <v>10102</v>
      </c>
      <c r="B30" s="11">
        <v>10106</v>
      </c>
      <c r="C30" s="38">
        <f t="shared" si="0"/>
        <v>90</v>
      </c>
    </row>
    <row r="31" spans="1:14" ht="15" x14ac:dyDescent="0.25">
      <c r="A31" s="7">
        <v>10110</v>
      </c>
      <c r="B31" s="11">
        <v>10114</v>
      </c>
      <c r="C31" s="38">
        <f t="shared" si="0"/>
        <v>180</v>
      </c>
    </row>
    <row r="32" spans="1:14" ht="15" x14ac:dyDescent="0.25">
      <c r="A32" s="7">
        <v>10104</v>
      </c>
      <c r="B32" s="11">
        <v>10106</v>
      </c>
      <c r="C32" s="38">
        <f t="shared" si="0"/>
        <v>60</v>
      </c>
    </row>
    <row r="33" spans="1:3" ht="15" x14ac:dyDescent="0.25">
      <c r="A33" s="7">
        <v>10110</v>
      </c>
      <c r="B33" s="11">
        <v>10112</v>
      </c>
      <c r="C33" s="38">
        <f t="shared" si="0"/>
        <v>115</v>
      </c>
    </row>
    <row r="34" spans="1:3" ht="15" x14ac:dyDescent="0.25">
      <c r="A34" s="7">
        <v>10100</v>
      </c>
      <c r="B34" s="11">
        <v>10114</v>
      </c>
      <c r="C34" s="38">
        <f t="shared" si="0"/>
        <v>480</v>
      </c>
    </row>
    <row r="35" spans="1:3" ht="15" x14ac:dyDescent="0.25">
      <c r="A35" s="9">
        <v>10112</v>
      </c>
      <c r="B35" s="12">
        <v>10116</v>
      </c>
      <c r="C35" s="12">
        <f t="shared" si="0"/>
        <v>105</v>
      </c>
    </row>
  </sheetData>
  <mergeCells count="2">
    <mergeCell ref="B5:G5"/>
    <mergeCell ref="C4:H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2023-12-20T05:48:09Z</dcterms:modified>
</cp:coreProperties>
</file>